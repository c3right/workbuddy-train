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855d1fd4a46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门店样本" sheetId="1" r:id="R23c3a53dcd0f4658"/>
    <x:sheet xmlns:r="http://schemas.openxmlformats.org/officeDocument/2006/relationships" name="区域汇总" sheetId="2" r:id="Rd2c8578a9ba74df3"/>
    <x:sheet xmlns:r="http://schemas.openxmlformats.org/officeDocument/2006/relationships" name="口径说明" sheetId="3" r:id="R6c96a4c71c9248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bd6a349edd4b81" /><Relationship Type="http://schemas.openxmlformats.org/officeDocument/2006/relationships/theme" Target="/xl/theme/theme1.xml" Id="Rf5b400d84125455d" /><Relationship Type="http://schemas.openxmlformats.org/officeDocument/2006/relationships/sharedStrings" Target="/xl/sharedStrings.xml" Id="Rade6328ea5ac464d" /><Relationship Type="http://schemas.openxmlformats.org/officeDocument/2006/relationships/worksheet" Target="/xl/worksheets/sheet1.xml" Id="R23c3a53dcd0f4658" /><Relationship Type="http://schemas.openxmlformats.org/officeDocument/2006/relationships/worksheet" Target="/xl/worksheets/sheet2.xml" Id="Rd2c8578a9ba74df3" /><Relationship Type="http://schemas.openxmlformats.org/officeDocument/2006/relationships/worksheet" Target="/xl/worksheets/sheet3.xml" Id="R6c96a4c71c9248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16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</x:cols>
  <x:sheetData>
    <x:row r="1">
      <x:c r="A1" s="10" t="str">
        <x:v>区域</x:v>
      </x:c>
      <x:c r="B1" s="10" t="str">
        <x:v>门店编号</x:v>
      </x:c>
      <x:c r="C1" s="10" t="str">
        <x:v>城市层级</x:v>
      </x:c>
      <x:c r="D1" s="10" t="str">
        <x:v>月均零售/店</x:v>
      </x:c>
      <x:c r="E1" s="10" t="str">
        <x:v>库存周转天数</x:v>
      </x:c>
      <x:c r="F1" s="10" t="str">
        <x:v>终端平均优惠率</x:v>
      </x:c>
      <x:c r="G1" s="10" t="str">
        <x:v>线索到店率</x:v>
      </x:c>
      <x:c r="H1" s="10" t="str">
        <x:v>到店成交率</x:v>
      </x:c>
      <x:c r="I1" s="10" t="str">
        <x:v>售后月进厂台次/店</x:v>
      </x:c>
      <x:c r="J1" s="10" t="str">
        <x:v>样本期</x:v>
      </x:c>
    </x:row>
    <x:row r="2">
      <x:c r="A2" s="11" t="str">
        <x:v>华东</x:v>
      </x:c>
      <x:c r="B2" s="11" t="str">
        <x:v>E1</x:v>
      </x:c>
      <x:c r="C2" s="11" t="str">
        <x:v>核心城市</x:v>
      </x:c>
      <x:c r="D2" s="11" t="n">
        <x:v>43</x:v>
      </x:c>
      <x:c r="E2" s="11" t="n">
        <x:v>66</x:v>
      </x:c>
      <x:c r="F2" s="14" t="n">
        <x:v>0.092</x:v>
      </x:c>
      <x:c r="G2" s="14" t="n">
        <x:v>0.25</x:v>
      </x:c>
      <x:c r="H2" s="14" t="n">
        <x:v>0.2</x:v>
      </x:c>
      <x:c r="I2" s="11" t="n">
        <x:v>192</x:v>
      </x:c>
      <x:c r="J2" s="11" t="str">
        <x:v>2026-07~08</x:v>
      </x:c>
    </x:row>
    <x:row r="3">
      <x:c r="A3" s="11" t="str">
        <x:v>华东</x:v>
      </x:c>
      <x:c r="B3" s="11" t="str">
        <x:v>E2</x:v>
      </x:c>
      <x:c r="C3" s="11" t="str">
        <x:v>核心城市</x:v>
      </x:c>
      <x:c r="D3" s="11" t="n">
        <x:v>39</x:v>
      </x:c>
      <x:c r="E3" s="11" t="n">
        <x:v>61</x:v>
      </x:c>
      <x:c r="F3" s="14" t="n">
        <x:v>0.086</x:v>
      </x:c>
      <x:c r="G3" s="14" t="n">
        <x:v>0.28</x:v>
      </x:c>
      <x:c r="H3" s="14" t="n">
        <x:v>0.22</x:v>
      </x:c>
      <x:c r="I3" s="11" t="n">
        <x:v>185</x:v>
      </x:c>
      <x:c r="J3" s="11" t="str">
        <x:v>2026-07~08</x:v>
      </x:c>
    </x:row>
    <x:row r="4">
      <x:c r="A4" s="11" t="str">
        <x:v>华东</x:v>
      </x:c>
      <x:c r="B4" s="11" t="str">
        <x:v>E3</x:v>
      </x:c>
      <x:c r="C4" s="11" t="str">
        <x:v>周边城市</x:v>
      </x:c>
      <x:c r="D4" s="11" t="n">
        <x:v>42</x:v>
      </x:c>
      <x:c r="E4" s="11" t="n">
        <x:v>58</x:v>
      </x:c>
      <x:c r="F4" s="14" t="n">
        <x:v>0.081</x:v>
      </x:c>
      <x:c r="G4" s="14" t="n">
        <x:v>0.27</x:v>
      </x:c>
      <x:c r="H4" s="14" t="n">
        <x:v>0.21</x:v>
      </x:c>
      <x:c r="I4" s="11" t="n">
        <x:v>188</x:v>
      </x:c>
      <x:c r="J4" s="11" t="str">
        <x:v>2026-07~08</x:v>
      </x:c>
    </x:row>
    <x:row r="5">
      <x:c r="A5" s="11" t="str">
        <x:v>华南</x:v>
      </x:c>
      <x:c r="B5" s="11" t="str">
        <x:v>S1</x:v>
      </x:c>
      <x:c r="C5" s="11" t="str">
        <x:v>核心城市</x:v>
      </x:c>
      <x:c r="D5" s="11" t="n">
        <x:v>48</x:v>
      </x:c>
      <x:c r="E5" s="11" t="n">
        <x:v>54</x:v>
      </x:c>
      <x:c r="F5" s="14" t="n">
        <x:v>0.082</x:v>
      </x:c>
      <x:c r="G5" s="14" t="n">
        <x:v>0.32</x:v>
      </x:c>
      <x:c r="H5" s="14" t="n">
        <x:v>0.24</x:v>
      </x:c>
      <x:c r="I5" s="11" t="n">
        <x:v>181</x:v>
      </x:c>
      <x:c r="J5" s="11" t="str">
        <x:v>2026-07~08</x:v>
      </x:c>
    </x:row>
    <x:row r="6">
      <x:c r="A6" s="11" t="str">
        <x:v>华南</x:v>
      </x:c>
      <x:c r="B6" s="11" t="str">
        <x:v>S2</x:v>
      </x:c>
      <x:c r="C6" s="11" t="str">
        <x:v>核心城市</x:v>
      </x:c>
      <x:c r="D6" s="11" t="n">
        <x:v>45</x:v>
      </x:c>
      <x:c r="E6" s="11" t="n">
        <x:v>51</x:v>
      </x:c>
      <x:c r="F6" s="14" t="n">
        <x:v>0.079</x:v>
      </x:c>
      <x:c r="G6" s="14" t="n">
        <x:v>0.3</x:v>
      </x:c>
      <x:c r="H6" s="14" t="n">
        <x:v>0.23</x:v>
      </x:c>
      <x:c r="I6" s="11" t="n">
        <x:v>174</x:v>
      </x:c>
      <x:c r="J6" s="11" t="str">
        <x:v>2026-07~08</x:v>
      </x:c>
    </x:row>
    <x:row r="7">
      <x:c r="A7" s="11" t="str">
        <x:v>华南</x:v>
      </x:c>
      <x:c r="B7" s="11" t="str">
        <x:v>S3</x:v>
      </x:c>
      <x:c r="C7" s="11" t="str">
        <x:v>周边城市</x:v>
      </x:c>
      <x:c r="D7" s="11" t="n">
        <x:v>46</x:v>
      </x:c>
      <x:c r="E7" s="11" t="n">
        <x:v>50</x:v>
      </x:c>
      <x:c r="F7" s="14" t="n">
        <x:v>0.076</x:v>
      </x:c>
      <x:c r="G7" s="14" t="n">
        <x:v>0.31</x:v>
      </x:c>
      <x:c r="H7" s="14" t="n">
        <x:v>0.25</x:v>
      </x:c>
      <x:c r="I7" s="11" t="n">
        <x:v>173</x:v>
      </x:c>
      <x:c r="J7" s="11" t="str">
        <x:v>2026-07~08</x:v>
      </x:c>
    </x:row>
    <x:row r="8">
      <x:c r="A8" s="11" t="str">
        <x:v>西南</x:v>
      </x:c>
      <x:c r="B8" s="11" t="str">
        <x:v>W1</x:v>
      </x:c>
      <x:c r="C8" s="11" t="str">
        <x:v>省会/核心城市</x:v>
      </x:c>
      <x:c r="D8" s="11" t="n">
        <x:v>34</x:v>
      </x:c>
      <x:c r="E8" s="11" t="n">
        <x:v>49</x:v>
      </x:c>
      <x:c r="F8" s="14" t="n">
        <x:v>0.065</x:v>
      </x:c>
      <x:c r="G8" s="14" t="n">
        <x:v>0.23</x:v>
      </x:c>
      <x:c r="H8" s="14" t="n">
        <x:v>0.2</x:v>
      </x:c>
      <x:c r="I8" s="11" t="n">
        <x:v>168</x:v>
      </x:c>
      <x:c r="J8" s="11" t="str">
        <x:v>2026-07~08</x:v>
      </x:c>
    </x:row>
    <x:row r="9">
      <x:c r="A9" s="11" t="str">
        <x:v>西南</x:v>
      </x:c>
      <x:c r="B9" s="11" t="str">
        <x:v>W2</x:v>
      </x:c>
      <x:c r="C9" s="11" t="str">
        <x:v>低线城市</x:v>
      </x:c>
      <x:c r="D9" s="11" t="n">
        <x:v>31</x:v>
      </x:c>
      <x:c r="E9" s="11" t="n">
        <x:v>46</x:v>
      </x:c>
      <x:c r="F9" s="14" t="n">
        <x:v>0.068</x:v>
      </x:c>
      <x:c r="G9" s="14" t="n">
        <x:v>0.24</x:v>
      </x:c>
      <x:c r="H9" s="14" t="n">
        <x:v>0.19</x:v>
      </x:c>
      <x:c r="I9" s="11" t="n">
        <x:v>160</x:v>
      </x:c>
      <x:c r="J9" s="11" t="str">
        <x:v>2026-07~08</x:v>
      </x:c>
    </x:row>
    <x:row r="10">
      <x:c r="A10" s="11" t="str">
        <x:v>西南</x:v>
      </x:c>
      <x:c r="B10" s="11" t="str">
        <x:v>W3</x:v>
      </x:c>
      <x:c r="C10" s="11" t="str">
        <x:v>低线城市</x:v>
      </x:c>
      <x:c r="D10" s="11" t="n">
        <x:v>35</x:v>
      </x:c>
      <x:c r="E10" s="11" t="n">
        <x:v>48</x:v>
      </x:c>
      <x:c r="F10" s="14" t="n">
        <x:v>0.069</x:v>
      </x:c>
      <x:c r="G10" s="14" t="n">
        <x:v>0.25</x:v>
      </x:c>
      <x:c r="H10" s="14" t="n">
        <x:v>0.21</x:v>
      </x:c>
      <x:c r="I10" s="11" t="n">
        <x:v>167</x:v>
      </x:c>
      <x:c r="J10" s="11" t="str">
        <x:v>2026-07~08</x:v>
      </x:c>
    </x:row>
    <x:row r="11">
      <x:c r="A11" s="11" t="str">
        <x:v>华北</x:v>
      </x:c>
      <x:c r="B11" s="11" t="str">
        <x:v>N1</x:v>
      </x:c>
      <x:c r="C11" s="11" t="str">
        <x:v>核心城市</x:v>
      </x:c>
      <x:c r="D11" s="11" t="n">
        <x:v>39</x:v>
      </x:c>
      <x:c r="E11" s="11" t="n">
        <x:v>45</x:v>
      </x:c>
      <x:c r="F11" s="14" t="n">
        <x:v>0.055</x:v>
      </x:c>
      <x:c r="G11" s="14" t="n">
        <x:v>0.29</x:v>
      </x:c>
      <x:c r="H11" s="14" t="n">
        <x:v>0.23</x:v>
      </x:c>
      <x:c r="I11" s="11" t="n">
        <x:v>184</x:v>
      </x:c>
      <x:c r="J11" s="11" t="str">
        <x:v>2026-07~08</x:v>
      </x:c>
    </x:row>
    <x:row r="12">
      <x:c r="A12" s="11" t="str">
        <x:v>华北</x:v>
      </x:c>
      <x:c r="B12" s="11" t="str">
        <x:v>N2</x:v>
      </x:c>
      <x:c r="C12" s="11" t="str">
        <x:v>周边城市</x:v>
      </x:c>
      <x:c r="D12" s="11" t="n">
        <x:v>37</x:v>
      </x:c>
      <x:c r="E12" s="11" t="n">
        <x:v>43</x:v>
      </x:c>
      <x:c r="F12" s="14" t="n">
        <x:v>0.06</x:v>
      </x:c>
      <x:c r="G12" s="14" t="n">
        <x:v>0.28</x:v>
      </x:c>
      <x:c r="H12" s="14" t="n">
        <x:v>0.22</x:v>
      </x:c>
      <x:c r="I12" s="11" t="n">
        <x:v>178</x:v>
      </x:c>
      <x:c r="J12" s="11" t="str">
        <x:v>2026-07~08</x:v>
      </x:c>
    </x:row>
    <x:row r="13">
      <x:c r="A13" s="11" t="str">
        <x:v>华北</x:v>
      </x:c>
      <x:c r="B13" s="11" t="str">
        <x:v>N3</x:v>
      </x:c>
      <x:c r="C13" s="11" t="str">
        <x:v>周边城市</x:v>
      </x:c>
      <x:c r="D13" s="11" t="n">
        <x:v>38</x:v>
      </x:c>
      <x:c r="E13" s="11" t="n">
        <x:v>44</x:v>
      </x:c>
      <x:c r="F13" s="14" t="n">
        <x:v>0.059</x:v>
      </x:c>
      <x:c r="G13" s="14" t="n">
        <x:v>0.3</x:v>
      </x:c>
      <x:c r="H13" s="14" t="n">
        <x:v>0.24</x:v>
      </x:c>
      <x:c r="I13" s="11" t="n">
        <x:v>181</x:v>
      </x:c>
      <x:c r="J13" s="11" t="str">
        <x:v>2026-07~08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</x:cols>
  <x:sheetData>
    <x:row r="1">
      <x:c r="A1" s="10" t="str">
        <x:v>区域</x:v>
      </x:c>
      <x:c r="B1" s="10" t="str">
        <x:v>样本门店数</x:v>
      </x:c>
      <x:c r="C1" s="10" t="str">
        <x:v>月均零售/店</x:v>
      </x:c>
      <x:c r="D1" s="10" t="str">
        <x:v>库存周转天数</x:v>
      </x:c>
      <x:c r="E1" s="10" t="str">
        <x:v>终端平均优惠率</x:v>
      </x:c>
      <x:c r="F1" s="10" t="str">
        <x:v>线索到店率</x:v>
      </x:c>
      <x:c r="G1" s="10" t="str">
        <x:v>到店成交率</x:v>
      </x:c>
      <x:c r="H1" s="10" t="str">
        <x:v>售后月进厂台次/店</x:v>
      </x:c>
    </x:row>
    <x:row r="2">
      <x:c r="A2" s="11" t="str">
        <x:v>华东</x:v>
      </x:c>
      <x:c r="B2" s="11" t="n">
        <x:v>3</x:v>
      </x:c>
      <x:c r="C2" s="22" t="n">
        <x:f>('门店样本'!D2+'门店样本'!D3+'门店样本'!D4)/3</x:f>
        <x:v>41.333333333333336</x:v>
      </x:c>
      <x:c r="D2" s="22" t="n">
        <x:f>('门店样本'!E2+'门店样本'!E3+'门店样本'!E4)/3</x:f>
        <x:v>61.666666666666664</x:v>
      </x:c>
      <x:c r="E2" s="14" t="n">
        <x:f>('门店样本'!F2+'门店样本'!F3+'门店样本'!F4)/3</x:f>
        <x:v>0.08633333333333333</x:v>
      </x:c>
      <x:c r="F2" s="14" t="n">
        <x:f>('门店样本'!G2+'门店样本'!G3+'门店样本'!G4)/3</x:f>
        <x:v>0.26666666666666666</x:v>
      </x:c>
      <x:c r="G2" s="14" t="n">
        <x:f>('门店样本'!H2+'门店样本'!H3+'门店样本'!H4)/3</x:f>
        <x:v>0.21</x:v>
      </x:c>
      <x:c r="H2" s="22" t="n">
        <x:f>('门店样本'!I2+'门店样本'!I3+'门店样本'!I4)/3</x:f>
        <x:v>188.33333333333334</x:v>
      </x:c>
    </x:row>
    <x:row r="3">
      <x:c r="A3" s="11" t="str">
        <x:v>华南</x:v>
      </x:c>
      <x:c r="B3" s="11" t="n">
        <x:v>3</x:v>
      </x:c>
      <x:c r="C3" s="22" t="n">
        <x:f>('门店样本'!D5+'门店样本'!D6+'门店样本'!D7)/3</x:f>
        <x:v>46.333333333333336</x:v>
      </x:c>
      <x:c r="D3" s="22" t="n">
        <x:f>('门店样本'!E5+'门店样本'!E6+'门店样本'!E7)/3</x:f>
        <x:v>51.666666666666664</x:v>
      </x:c>
      <x:c r="E3" s="14" t="n">
        <x:f>('门店样本'!F5+'门店样本'!F6+'门店样本'!F7)/3</x:f>
        <x:v>0.079</x:v>
      </x:c>
      <x:c r="F3" s="14" t="n">
        <x:f>('门店样本'!G5+'门店样本'!G6+'门店样本'!G7)/3</x:f>
        <x:v>0.31</x:v>
      </x:c>
      <x:c r="G3" s="14" t="n">
        <x:f>('门店样本'!H5+'门店样本'!H6+'门店样本'!H7)/3</x:f>
        <x:v>0.24</x:v>
      </x:c>
      <x:c r="H3" s="22" t="n">
        <x:f>('门店样本'!I5+'门店样本'!I6+'门店样本'!I7)/3</x:f>
        <x:v>176</x:v>
      </x:c>
    </x:row>
    <x:row r="4">
      <x:c r="A4" s="11" t="str">
        <x:v>西南</x:v>
      </x:c>
      <x:c r="B4" s="11" t="n">
        <x:v>3</x:v>
      </x:c>
      <x:c r="C4" s="22" t="n">
        <x:f>('门店样本'!D8+'门店样本'!D9+'门店样本'!D10)/3</x:f>
        <x:v>33.333333333333336</x:v>
      </x:c>
      <x:c r="D4" s="22" t="n">
        <x:f>('门店样本'!E8+'门店样本'!E9+'门店样本'!E10)/3</x:f>
        <x:v>47.666666666666664</x:v>
      </x:c>
      <x:c r="E4" s="14" t="n">
        <x:f>('门店样本'!F8+'门店样本'!F9+'门店样本'!F10)/3</x:f>
        <x:v>0.06733333333333334</x:v>
      </x:c>
      <x:c r="F4" s="14" t="n">
        <x:f>('门店样本'!G8+'门店样本'!G9+'门店样本'!G10)/3</x:f>
        <x:v>0.24</x:v>
      </x:c>
      <x:c r="G4" s="14" t="n">
        <x:f>('门店样本'!H8+'门店样本'!H9+'门店样本'!H10)/3</x:f>
        <x:v>0.19999999999999998</x:v>
      </x:c>
      <x:c r="H4" s="22" t="n">
        <x:f>('门店样本'!I8+'门店样本'!I9+'门店样本'!I10)/3</x:f>
        <x:v>165</x:v>
      </x:c>
    </x:row>
    <x:row r="5">
      <x:c r="A5" s="11" t="str">
        <x:v>华北</x:v>
      </x:c>
      <x:c r="B5" s="11" t="n">
        <x:v>3</x:v>
      </x:c>
      <x:c r="C5" s="22" t="n">
        <x:f>('门店样本'!D11+'门店样本'!D12+'门店样本'!D13)/3</x:f>
        <x:v>38</x:v>
      </x:c>
      <x:c r="D5" s="22" t="n">
        <x:f>('门店样本'!E11+'门店样本'!E12+'门店样本'!E13)/3</x:f>
        <x:v>44</x:v>
      </x:c>
      <x:c r="E5" s="14" t="n">
        <x:f>('门店样本'!F11+'门店样本'!F12+'门店样本'!F13)/3</x:f>
        <x:v>0.057999999999999996</x:v>
      </x:c>
      <x:c r="F5" s="14" t="n">
        <x:f>('门店样本'!G11+'门店样本'!G12+'门店样本'!G13)/3</x:f>
        <x:v>0.29000000000000004</x:v>
      </x:c>
      <x:c r="G5" s="14" t="n">
        <x:f>('门店样本'!H11+'门店样本'!H12+'门店样本'!H13)/3</x:f>
        <x:v>0.22999999999999998</x:v>
      </x:c>
      <x:c r="H5" s="22" t="n">
        <x:f>('门店样本'!I11+'门店样本'!I12+'门店样本'!I13)/3</x:f>
        <x:v>181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4" hidden="0" customWidth="1"/>
  </x:cols>
  <x:sheetData>
    <x:row r="1">
      <x:c r="A1" s="20" t="str">
        <x:v>项目</x:v>
      </x:c>
      <x:c r="B1" s="11" t="str">
        <x:v>新岚汽车渠道研究项目（教学用虚构数据）</x:v>
      </x:c>
    </x:row>
    <x:row r="2">
      <x:c r="A2" s="20" t="str">
        <x:v>样本</x:v>
      </x:c>
      <x:c r="B2" s="11" t="str">
        <x:v>仅 12 家示例门店，不代表全国网络。</x:v>
      </x:c>
    </x:row>
    <x:row r="3">
      <x:c r="A3" s="20" t="str">
        <x:v>时间范围</x:v>
      </x:c>
      <x:c r="B3" s="11" t="str">
        <x:v>2026 年 7—8 月平均快照。</x:v>
      </x:c>
    </x:row>
    <x:row r="4">
      <x:c r="A4" s="20" t="str">
        <x:v>库存周转天数</x:v>
      </x:c>
      <x:c r="B4" s="11" t="str">
        <x:v>按样本期平均库存与零售速度估算；门店访谈中的口头数字可能采用不同算法。</x:v>
      </x:c>
    </x:row>
    <x:row r="5">
      <x:c r="A5" s="20" t="str">
        <x:v>终端平均优惠率</x:v>
      </x:c>
      <x:c r="B5" s="11" t="str">
        <x:v>本教学数据统一按成交价格相对建议零售价的折让比例计算；实际项目中需确认是否包含厂家现金补贴。</x:v>
      </x:c>
    </x:row>
    <x:row r="6">
      <x:c r="A6" s="20" t="str">
        <x:v>线索到店率</x:v>
      </x:c>
      <x:c r="B6" s="11" t="str">
        <x:v>总部或线上渠道下发线索中最终到店的比例。</x:v>
      </x:c>
    </x:row>
    <x:row r="7">
      <x:c r="A7" s="20" t="str">
        <x:v>到店成交率</x:v>
      </x:c>
      <x:c r="B7" s="11" t="str">
        <x:v>已到店客户中最终成交的比例。</x:v>
      </x:c>
    </x:row>
    <x:row r="8">
      <x:c r="A8" s="20" t="str">
        <x:v>使用限制</x:v>
      </x:c>
      <x:c r="B8" s="11" t="str">
        <x:v>不得据此推断全国水平或因果关系；访谈观点应与数据事实分开。</x:v>
      </x:c>
    </x:row>
  </x:sheetData>
  <x:pageMargins left="0.7" right="0.7" top="0.75" bottom="0.75" header="0.3" footer="0.3"/>
</x:worksheet>
</file>